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Business Context" sheetId="2" state="visible" r:id="rId2"/>
    <sheet xmlns:r="http://schemas.openxmlformats.org/officeDocument/2006/relationships" name="Cohorts" sheetId="3" state="visible" r:id="rId3"/>
    <sheet xmlns:r="http://schemas.openxmlformats.org/officeDocument/2006/relationships" name="Channel Assumptions" sheetId="4" state="visible" r:id="rId4"/>
    <sheet xmlns:r="http://schemas.openxmlformats.org/officeDocument/2006/relationships" name="Brand Guidelines" sheetId="5" state="visible" r:id="rId5"/>
    <sheet xmlns:r="http://schemas.openxmlformats.org/officeDocument/2006/relationships" name="Industry Trends" sheetId="6" state="visible" r:id="rId6"/>
    <sheet xmlns:r="http://schemas.openxmlformats.org/officeDocument/2006/relationships" name="Historic Sales Data" sheetId="7" state="visible" r:id="rId7"/>
    <sheet xmlns:r="http://schemas.openxmlformats.org/officeDocument/2006/relationships" name="Competitive Landscape" sheetId="8" state="visible" r:id="rId8"/>
    <sheet xmlns:r="http://schemas.openxmlformats.org/officeDocument/2006/relationships" name="Assumptions &amp; Model Setting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sz val="16"/>
    </font>
    <font>
      <name val="Calibri"/>
      <charset val="1"/>
      <family val="2"/>
      <sz val="11"/>
    </font>
    <font>
      <name val="Calibri"/>
      <charset val="1"/>
      <family val="2"/>
      <b val="1"/>
      <sz val="11"/>
    </font>
    <font>
      <name val="Calibri"/>
      <charset val="1"/>
      <family val="2"/>
      <b val="1"/>
      <color rgb="FF1F3864"/>
      <sz val="12"/>
    </font>
    <font>
      <name val="Calibri"/>
      <charset val="1"/>
      <family val="2"/>
      <b val="1"/>
      <sz val="14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i val="1"/>
      <color rgb="FF666666"/>
      <sz val="9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1F3864"/>
      <sz val="14"/>
    </font>
    <font>
      <name val="Calibri"/>
      <charset val="1"/>
      <family val="2"/>
      <i val="1"/>
      <color rgb="FFC00000"/>
      <sz val="10"/>
    </font>
    <font>
      <name val="Calibri"/>
      <charset val="1"/>
      <family val="2"/>
      <b val="1"/>
      <color rgb="FF1F3864"/>
      <sz val="11"/>
    </font>
    <font>
      <name val="Calibri"/>
      <charset val="1"/>
      <family val="2"/>
      <b val="1"/>
      <color rgb="FF0000CC"/>
      <sz val="11"/>
    </font>
  </fonts>
  <fills count="5">
    <fill>
      <patternFill/>
    </fill>
    <fill>
      <patternFill patternType="gray125"/>
    </fill>
    <fill>
      <patternFill patternType="solid">
        <fgColor rgb="FF2F4F4F"/>
        <bgColor rgb="FF1F3864"/>
      </patternFill>
    </fill>
    <fill>
      <patternFill patternType="solid">
        <fgColor rgb="FFFFF9C4"/>
        <bgColor rgb="FFFFFF99"/>
      </patternFill>
    </fill>
    <fill>
      <patternFill patternType="solid">
        <fgColor rgb="FFD9E1F2"/>
        <bgColor rgb="FFCCCCCC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top" wrapText="1"/>
    </xf>
    <xf numFmtId="9" fontId="0" fillId="3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center"/>
    </xf>
    <xf numFmtId="0" fontId="15" fillId="3" borderId="1" applyAlignment="1" pivotButton="0" quotePrefix="0" xfId="0">
      <alignment horizontal="general" vertical="top" wrapText="1"/>
    </xf>
    <xf numFmtId="9" fontId="15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9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top" wrapText="1"/>
    </xf>
    <xf numFmtId="0" fontId="9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top" wrapText="1"/>
    </xf>
    <xf numFmtId="9" fontId="0" fillId="3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center" wrapText="1"/>
    </xf>
    <xf numFmtId="0" fontId="12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top" wrapText="1"/>
    </xf>
    <xf numFmtId="0" fontId="13" fillId="0" borderId="0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center"/>
    </xf>
    <xf numFmtId="0" fontId="0" fillId="0" borderId="5" pivotButton="0" quotePrefix="0" xfId="0"/>
    <xf numFmtId="0" fontId="0" fillId="0" borderId="6" pivotButton="0" quotePrefix="0" xfId="0"/>
    <xf numFmtId="0" fontId="15" fillId="3" borderId="1" applyAlignment="1" pivotButton="0" quotePrefix="0" xfId="0">
      <alignment horizontal="general" vertical="top" wrapText="1"/>
    </xf>
    <xf numFmtId="9" fontId="15" fillId="3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9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80" customWidth="1" style="29" min="1" max="1"/>
  </cols>
  <sheetData>
    <row r="1" ht="21" customHeight="1" s="30">
      <c r="A1" s="31" t="inlineStr">
        <is>
          <t>OKHIYA FALL 2026 LAUNCH: MOCK DATA INPUT</t>
        </is>
      </c>
    </row>
    <row r="2" ht="14.25" customHeight="1" s="30">
      <c r="A2" s="32" t="n"/>
    </row>
    <row r="3" ht="14.25" customHeight="1" s="30">
      <c r="A3" s="33" t="inlineStr">
        <is>
          <t>PURPOSE: Fill in this workbook with plausible-from-memory numbers.</t>
        </is>
      </c>
    </row>
    <row r="4" ht="14.25" customHeight="1" s="30">
      <c r="A4" s="32" t="inlineStr">
        <is>
          <t>These become the mock dataset your AMOS agents reason over tomorrow.</t>
        </is>
      </c>
    </row>
    <row r="5" ht="14.25" customHeight="1" s="30">
      <c r="A5" s="32" t="n"/>
    </row>
    <row r="6" ht="14.25" customHeight="1" s="30">
      <c r="A6" s="33" t="inlineStr">
        <is>
          <t>RULES:</t>
        </is>
      </c>
    </row>
    <row r="7" ht="14.25" customHeight="1" s="30">
      <c r="A7" s="32" t="inlineStr">
        <is>
          <t xml:space="preserve">  1. Do NOT research. Numbers from memory only.</t>
        </is>
      </c>
    </row>
    <row r="8" ht="14.25" customHeight="1" s="30">
      <c r="A8" s="32" t="inlineStr">
        <is>
          <t xml:space="preserve">  2. Plausible &gt; precise. A smart retail person should nod.</t>
        </is>
      </c>
    </row>
    <row r="9" ht="14.25" customHeight="1" s="30">
      <c r="A9" s="32" t="inlineStr">
        <is>
          <t xml:space="preserve">  3. Yellow cells = your input. Grey = pre-filled or hints.</t>
        </is>
      </c>
    </row>
    <row r="10" ht="14.25" customHeight="1" s="30">
      <c r="A10" s="32" t="inlineStr">
        <is>
          <t xml:space="preserve">  4. Target time: 15 minutes total.</t>
        </is>
      </c>
    </row>
    <row r="11" ht="14.25" customHeight="1" s="30">
      <c r="A11" s="32" t="n"/>
    </row>
    <row r="12" ht="14.25" customHeight="1" s="30">
      <c r="A12" s="33" t="inlineStr">
        <is>
          <t>ORDER TO FILL:</t>
        </is>
      </c>
    </row>
    <row r="13" ht="14.25" customHeight="1" s="30">
      <c r="A13" s="32" t="inlineStr">
        <is>
          <t xml:space="preserve">  Sheet 1: Business Context (5 min). Top-level anchors.</t>
        </is>
      </c>
    </row>
    <row r="14" ht="14.25" customHeight="1" s="30">
      <c r="A14" s="32" t="inlineStr">
        <is>
          <t xml:space="preserve">  Sheet 2: Cohorts (8 min). The 2x2. Most important.</t>
        </is>
      </c>
    </row>
    <row r="15" ht="14.25" customHeight="1" s="30">
      <c r="A15" s="32" t="inlineStr">
        <is>
          <t xml:space="preserve">  Sheet 3: Channel Assumptions (2 min). Keep it loose; Agent C uses these.</t>
        </is>
      </c>
    </row>
    <row r="16" ht="14.25" customHeight="1" s="30">
      <c r="A16" s="32" t="n"/>
    </row>
    <row r="17" ht="14.25" customHeight="1" s="30">
      <c r="A17" s="33" t="inlineStr">
        <is>
          <t>WHEN DONE: Paste this back into Claude and we move to the demo script.</t>
        </is>
      </c>
    </row>
    <row r="18" ht="14.25" customHeight="1" s="30">
      <c r="A18" s="32" t="n"/>
    </row>
    <row r="19" ht="14.25" customHeight="1" s="30">
      <c r="A19" s="33" t="inlineStr">
        <is>
          <t>REMEMBER: Every minute spent perfecting this is a minute stolen from</t>
        </is>
      </c>
    </row>
    <row r="20" ht="14.25" customHeight="1" s="30">
      <c r="A20" s="32" t="inlineStr">
        <is>
          <t>the demo script and sleep. Ship it at 80% and move on.</t>
        </is>
      </c>
    </row>
    <row r="22" ht="14.25" customHeight="1" s="30">
      <c r="A22" s="32" t="n"/>
    </row>
    <row r="23" ht="15" customHeight="1" s="30">
      <c r="A23" s="34" t="n"/>
    </row>
    <row r="24" ht="14.25" customHeight="1" s="30">
      <c r="A24" s="32" t="n"/>
    </row>
    <row r="25" ht="14.25" customHeight="1" s="30">
      <c r="A25" s="33" t="inlineStr">
        <is>
          <t>This file now has 9 sheets that feed the AMOS 5-agent pipeline:</t>
        </is>
      </c>
    </row>
    <row r="26" ht="14.25" customHeight="1" s="30">
      <c r="A26" s="32" t="n"/>
    </row>
    <row r="27" ht="14.25" customHeight="1" s="30">
      <c r="A27" s="32" t="inlineStr">
        <is>
          <t xml:space="preserve">  1. READ ME FIRST: this sheet</t>
        </is>
      </c>
    </row>
    <row r="28" ht="14.25" customHeight="1" s="30">
      <c r="A28" s="32" t="inlineStr">
        <is>
          <t xml:space="preserve">  2. Business Context: top-level brand + campaign parameters</t>
        </is>
      </c>
    </row>
    <row r="29" ht="14.25" customHeight="1" s="30">
      <c r="A29" s="32" t="inlineStr">
        <is>
          <t xml:space="preserve">  3. Cohorts: 2x2 customer cohort data (expanded with competitive + LTV fields)</t>
        </is>
      </c>
    </row>
    <row r="30" ht="14.25" customHeight="1" s="30">
      <c r="A30" s="32" t="inlineStr">
        <is>
          <t xml:space="preserve">  4. Channel Assumptions: 12 media channels (expanded with effectiveness + budget share)</t>
        </is>
      </c>
    </row>
    <row r="31" ht="14.25" customHeight="1" s="30">
      <c r="A31" s="32" t="inlineStr">
        <is>
          <t xml:space="preserve">  5. Brand Guidelines: tone, visual anchors, do's and don'ts</t>
        </is>
      </c>
    </row>
    <row r="32" ht="14.25" customHeight="1" s="30">
      <c r="A32" s="32" t="inlineStr">
        <is>
          <t xml:space="preserve">  6. Industry Trends: category tailwinds and headwinds</t>
        </is>
      </c>
    </row>
    <row r="33" ht="14.25" customHeight="1" s="30">
      <c r="A33" s="32" t="inlineStr">
        <is>
          <t xml:space="preserve">  7. Historic Sales Data: last 4 years of revenue and cohort performance</t>
        </is>
      </c>
    </row>
    <row r="34" ht="14.25" customHeight="1" s="30">
      <c r="A34" s="32" t="inlineStr">
        <is>
          <t xml:space="preserve">  8. Competitive Landscape: competitors ranked by threat</t>
        </is>
      </c>
    </row>
    <row r="35" ht="14.25" customHeight="1" s="30">
      <c r="A35" s="32" t="inlineStr">
        <is>
          <t xml:space="preserve">  9. Assumptions &amp; Model Settings: every number Agent 5 uses, visible and editable</t>
        </is>
      </c>
    </row>
    <row r="36" ht="14.25" customHeight="1" s="30">
      <c r="A36" s="32" t="n"/>
    </row>
    <row r="37" ht="14.25" customHeight="1" s="30">
      <c r="A37" s="33" t="inlineStr">
        <is>
          <t>Which agent reads which sheet:</t>
        </is>
      </c>
    </row>
    <row r="38" ht="14.25" customHeight="1" s="30">
      <c r="A38" s="32" t="n"/>
    </row>
    <row r="39" ht="14.25" customHeight="1" s="30">
      <c r="A39" s="32" t="inlineStr">
        <is>
          <t xml:space="preserve">  Agent 1 (Objective Intake)       → Business Context (objective + target)</t>
        </is>
      </c>
    </row>
    <row r="40" ht="14.25" customHeight="1" s="30">
      <c r="A40" s="32" t="inlineStr">
        <is>
          <t xml:space="preserve">  Agent 2 (Context &amp; Strategy)     → Business Context, Cohorts, Brand Guidelines,</t>
        </is>
      </c>
    </row>
    <row r="41" ht="14.25" customHeight="1" s="30">
      <c r="A41" s="32" t="inlineStr">
        <is>
          <t xml:space="preserve">                                      Industry Trends, Historic Sales, Competitive Landscape</t>
        </is>
      </c>
    </row>
    <row r="42" ht="14.25" customHeight="1" s="30">
      <c r="A42" s="32" t="inlineStr">
        <is>
          <t xml:space="preserve">  Agent 3 (Creative Director)      → Cohorts, Brand Guidelines</t>
        </is>
      </c>
    </row>
    <row r="43" ht="14.25" customHeight="1" s="30">
      <c r="A43" s="32" t="inlineStr">
        <is>
          <t xml:space="preserve">  Agent 4 (Media Planner)          → Cohorts, Channel Assumptions</t>
        </is>
      </c>
    </row>
    <row r="44" ht="14.25" customHeight="1" s="30">
      <c r="A44" s="32" t="inlineStr">
        <is>
          <t xml:space="preserve">  Agent 5 (Impact Forecaster)      → Cohorts, Channel Assumptions, Assumptions &amp; Model Settings</t>
        </is>
      </c>
    </row>
    <row r="45" ht="14.25" customHeight="1" s="30">
      <c r="A45" s="32" t="n"/>
    </row>
    <row r="46" ht="14.25" customHeight="1" s="30">
      <c r="A46" s="32" t="inlineStr">
        <is>
          <t>To run AMOS on a different brand, a marketer fills out this same file with their own context.</t>
        </is>
      </c>
    </row>
    <row r="47" ht="14.25" customHeight="1" s="30">
      <c r="A47" s="32" t="inlineStr">
        <is>
          <t>The agents read everything from the file. Nothing is hardcoded.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8" activeCellId="0" sqref="B8"/>
    </sheetView>
  </sheetViews>
  <sheetFormatPr baseColWidth="8" defaultColWidth="8.6796875" defaultRowHeight="14.25" zeroHeight="0" outlineLevelRow="0"/>
  <cols>
    <col width="35" customWidth="1" style="29" min="1" max="1"/>
    <col width="30" customWidth="1" style="29" min="2" max="2"/>
    <col width="55" customWidth="1" style="29" min="3" max="3"/>
  </cols>
  <sheetData>
    <row r="1" ht="18" customHeight="1" s="30">
      <c r="A1" s="35" t="inlineStr">
        <is>
          <t>OKHIYA FALL 2026 LAUNCH: BUSINESS CONTEXT</t>
        </is>
      </c>
    </row>
    <row r="3" ht="30" customHeight="1" s="30">
      <c r="A3" s="36" t="inlineStr">
        <is>
          <t>Field</t>
        </is>
      </c>
      <c r="B3" s="36" t="inlineStr">
        <is>
          <t>Your Input</t>
        </is>
      </c>
      <c r="C3" s="36" t="inlineStr">
        <is>
          <t>Notes / Hint</t>
        </is>
      </c>
    </row>
    <row r="4" ht="30" customHeight="1" s="30">
      <c r="A4" s="37" t="inlineStr">
        <is>
          <t>Brand name</t>
        </is>
      </c>
      <c r="B4" s="38" t="inlineStr">
        <is>
          <t>Okhiya</t>
        </is>
      </c>
      <c r="C4" s="39" t="inlineStr">
        <is>
          <t>Pre-filled</t>
        </is>
      </c>
    </row>
    <row r="5" ht="30" customHeight="1" s="30">
      <c r="A5" s="37" t="inlineStr">
        <is>
          <t>Occasion / Campaign</t>
        </is>
      </c>
      <c r="B5" s="38" t="inlineStr">
        <is>
          <t>Fall 2026 Launch</t>
        </is>
      </c>
      <c r="C5" s="39" t="inlineStr">
        <is>
          <t>Pre-filled</t>
        </is>
      </c>
    </row>
    <row r="6" ht="30" customHeight="1" s="30">
      <c r="A6" s="37" t="inlineStr">
        <is>
          <t>Total annual revenue ($M)</t>
        </is>
      </c>
      <c r="B6" s="38" t="n">
        <v>120</v>
      </c>
      <c r="C6" s="39" t="inlineStr">
        <is>
          <t>Ballpark OK. e.g. 30</t>
        </is>
      </c>
    </row>
    <row r="7" ht="30" customHeight="1" s="30">
      <c r="A7" s="37" t="inlineStr">
        <is>
          <t>Total Fall-season revenue ($M)</t>
        </is>
      </c>
      <c r="B7" s="38" t="n">
        <v>36</v>
      </c>
      <c r="C7" s="39" t="inlineStr">
        <is>
          <t>Ballpark. Fall launch window typically captures 25-35% of annual for occasion wear brands</t>
        </is>
      </c>
    </row>
    <row r="8" ht="30" customHeight="1" s="30">
      <c r="A8" s="37" t="inlineStr">
        <is>
          <t>Fall launch period length (weeks)</t>
        </is>
      </c>
      <c r="B8" s="38" t="n">
        <v>12</v>
      </c>
      <c r="C8" s="39" t="inlineStr">
        <is>
          <t>e.g. 12 (September through November)</t>
        </is>
      </c>
    </row>
    <row r="9" ht="30" customHeight="1" s="30">
      <c r="A9" s="37" t="inlineStr">
        <is>
          <t>Number of stores</t>
        </is>
      </c>
      <c r="B9" s="38" t="n">
        <v>25</v>
      </c>
      <c r="C9" s="39" t="inlineStr">
        <is>
          <t>Rough count</t>
        </is>
      </c>
    </row>
    <row r="10" ht="30" customHeight="1" s="30">
      <c r="A10" s="37" t="inlineStr">
        <is>
          <t>Business objective (one sentence)</t>
        </is>
      </c>
      <c r="B10" s="38" t="inlineStr">
        <is>
          <t>Grow Fall 2026 launch revenue 40% YoY</t>
        </is>
      </c>
      <c r="C10" s="39" t="inlineStr">
        <is>
          <t>e.g. "Grow Fall 2026 launch revenue 50% YoY"</t>
        </is>
      </c>
    </row>
    <row r="11" ht="30" customHeight="1" s="30">
      <c r="A11" s="37" t="inlineStr">
        <is>
          <t>Current YoY growth baseline</t>
        </is>
      </c>
      <c r="B11" s="38" t="inlineStr">
        <is>
          <t>7-10% organic, 15% with baseline marketing efforts</t>
        </is>
      </c>
      <c r="C11" s="39" t="inlineStr">
        <is>
          <t>e.g. "15% organic growth without intervention"</t>
        </is>
      </c>
    </row>
    <row r="12" ht="30" customHeight="1" s="30">
      <c r="A12" s="37" t="inlineStr">
        <is>
          <t>Brand positioning (one line)</t>
        </is>
      </c>
      <c r="B12" s="38" t="inlineStr">
        <is>
          <t>Design-differentiated handcrafted occasion wear, made by artisans, rooted in global craft traditions</t>
        </is>
      </c>
      <c r="C12" s="39" t="inlineStr">
        <is>
          <t>e.g. "Premium but accessible heritage occasion wear, rooted in craft but evolving"</t>
        </is>
      </c>
    </row>
    <row r="13" ht="31.5" customHeight="1" s="30">
      <c r="A13" s="40" t="inlineStr">
        <is>
          <t>Target timeframe</t>
        </is>
      </c>
      <c r="B13" s="38" t="inlineStr">
        <is>
          <t>September–November 2026: Fall collection launch through gala season (~12 weeks peak)</t>
        </is>
      </c>
      <c r="C13" s="39" t="inlineStr">
        <is>
          <t>The full Fall launch window</t>
        </is>
      </c>
    </row>
    <row r="14" ht="31.5" customHeight="1" s="30">
      <c r="A14" s="40" t="inlineStr">
        <is>
          <t>Current fiscal year</t>
        </is>
      </c>
      <c r="B14" s="38" t="inlineStr">
        <is>
          <t>FY 2026–27</t>
        </is>
      </c>
      <c r="C14" s="39" t="n"/>
    </row>
    <row r="15" ht="31.5" customHeight="1" s="30">
      <c r="A15" s="40" t="inlineStr">
        <is>
          <t>Currency</t>
        </is>
      </c>
      <c r="B15" s="38" t="inlineStr">
        <is>
          <t>USD ($)</t>
        </is>
      </c>
      <c r="C15" s="39" t="inlineStr">
        <is>
          <t>All monetary values in US Dollars</t>
        </is>
      </c>
    </row>
    <row r="16" ht="31.5" customHeight="1" s="30">
      <c r="A16" s="40" t="inlineStr">
        <is>
          <t>Brand archetype</t>
        </is>
      </c>
      <c r="B16" s="38" t="inlineStr">
        <is>
          <t>Creator / Lover</t>
        </is>
      </c>
      <c r="C16" s="39" t="inlineStr">
        <is>
          <t>Jungian brand archetype, informs Agent 3 creative tone</t>
        </is>
      </c>
    </row>
    <row r="17" ht="31.5" customHeight="1" s="30">
      <c r="A17" s="40" t="inlineStr">
        <is>
          <t>Campaign budget envelope ($M)</t>
        </is>
      </c>
      <c r="B17" s="38" t="n">
        <v>6</v>
      </c>
      <c r="C17" s="39" t="inlineStr">
        <is>
          <t>~17% of Fall-season revenue target, plausible for a tentpole launch moment</t>
        </is>
      </c>
    </row>
    <row r="18" ht="31.5" customHeight="1" s="30">
      <c r="A18" s="40" t="inlineStr">
        <is>
          <t>Baseline campaign conversion lift (%)</t>
        </is>
      </c>
      <c r="B18" s="38" t="inlineStr">
        <is>
          <t>4%</t>
        </is>
      </c>
      <c r="C18" s="39" t="inlineStr">
        <is>
          <t>Expected uplift on top of organic conversion, Agent 5 uses this</t>
        </is>
      </c>
    </row>
    <row r="19" ht="31.5" customHeight="1" s="30">
      <c r="A19" s="40" t="inlineStr">
        <is>
          <t>Organic baseline growth (%)</t>
        </is>
      </c>
      <c r="B19" s="38" t="inlineStr">
        <is>
          <t>15%</t>
        </is>
      </c>
      <c r="C19" s="39" t="inlineStr">
        <is>
          <t>What revenue would grow by without the campaign</t>
        </is>
      </c>
    </row>
    <row r="20" ht="31.5" customHeight="1" s="30">
      <c r="A20" s="40" t="inlineStr">
        <is>
          <t>Risk adjustment on forecast (%)</t>
        </is>
      </c>
      <c r="B20" s="38" t="inlineStr">
        <is>
          <t>-10%</t>
        </is>
      </c>
      <c r="C20" s="39" t="inlineStr">
        <is>
          <t>Conservatism factor applied to Agent 5 uplift projection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4" activeCellId="0" sqref="B4"/>
    </sheetView>
  </sheetViews>
  <sheetFormatPr baseColWidth="8" defaultColWidth="8.6796875" defaultRowHeight="14.25" zeroHeight="0" outlineLevelRow="0"/>
  <cols>
    <col width="28" customWidth="1" style="29" min="1" max="1"/>
    <col width="22" customWidth="1" style="29" min="2" max="5"/>
    <col width="45" customWidth="1" style="29" min="6" max="6"/>
  </cols>
  <sheetData>
    <row r="1" ht="18" customHeight="1" s="30">
      <c r="A1" s="35" t="inlineStr">
        <is>
          <t>FOUR COHORTS: 2x2 (Contemporary/Classic × Repeat/New)</t>
        </is>
      </c>
    </row>
    <row r="2" ht="14.25" customHeight="1" s="30"/>
    <row r="3" ht="42" customHeight="1" s="30">
      <c r="A3" s="41" t="inlineStr">
        <is>
          <t>Field</t>
        </is>
      </c>
      <c r="B3" s="41" t="inlineStr">
        <is>
          <t>Classic Repeat
(core loyalists)</t>
        </is>
      </c>
      <c r="C3" s="41" t="inlineStr">
        <is>
          <t>Classic New
(hardest to acquire)</t>
        </is>
      </c>
      <c r="D3" s="41" t="inlineStr">
        <is>
          <t>Contemporary Repeat
(younger loyalists)</t>
        </is>
      </c>
      <c r="E3" s="41" t="inlineStr">
        <is>
          <t>Contemporary New
(growth bet)</t>
        </is>
      </c>
      <c r="F3" s="41" t="inlineStr">
        <is>
          <t>Notes / Hint</t>
        </is>
      </c>
    </row>
    <row r="4" ht="54.75" customHeight="1" s="30">
      <c r="A4" s="42" t="inlineStr">
        <is>
          <t>Cohort size (# customers)</t>
        </is>
      </c>
      <c r="B4" s="38" t="n">
        <v>30000</v>
      </c>
      <c r="C4" s="38" t="n">
        <v>75000</v>
      </c>
      <c r="D4" s="38" t="n">
        <v>60000</v>
      </c>
      <c r="E4" s="38" t="n">
        <v>100000</v>
      </c>
      <c r="F4" s="39" t="inlineStr">
        <is>
          <t>Order of magnitude OK. e.g. 5,000</t>
        </is>
      </c>
    </row>
    <row r="5" ht="54.75" customHeight="1" s="30">
      <c r="A5" s="42" t="inlineStr">
        <is>
          <t>Average Order Value ($)</t>
        </is>
      </c>
      <c r="B5" s="38" t="n">
        <v>900</v>
      </c>
      <c r="C5" s="38" t="n">
        <v>800</v>
      </c>
      <c r="D5" s="38" t="n">
        <v>700</v>
      </c>
      <c r="E5" s="38" t="n">
        <v>400</v>
      </c>
      <c r="F5" s="39" t="inlineStr">
        <is>
          <t>Fall-season AOV. Classic (heirloom-quality) usually higher than Contemporary.</t>
        </is>
      </c>
    </row>
    <row r="6" ht="54.75" customHeight="1" s="30">
      <c r="A6" s="42" t="inlineStr">
        <is>
          <t>Fall-season revenue from cohort</t>
        </is>
      </c>
      <c r="B6" s="38">
        <f>B5*B4</f>
        <v/>
      </c>
      <c r="C6" s="38">
        <f>C5*C4</f>
        <v/>
      </c>
      <c r="D6" s="38">
        <f>D5*D4</f>
        <v/>
      </c>
      <c r="E6" s="38">
        <f>E5*E4</f>
        <v/>
      </c>
      <c r="F6" s="39">
        <f>SUM(B6:E6)</f>
        <v/>
      </c>
      <c r="G6" s="43">
        <f>F6/1000000</f>
        <v/>
      </c>
    </row>
    <row r="7" ht="54.75" customHeight="1" s="30">
      <c r="A7" s="42" t="inlineStr">
        <is>
          <t>% of current Fall-season revenue</t>
        </is>
      </c>
      <c r="B7" s="44" t="n">
        <v>0.42</v>
      </c>
      <c r="C7" s="44" t="n">
        <v>0.28</v>
      </c>
      <c r="D7" s="44" t="n">
        <v>0.2</v>
      </c>
      <c r="E7" s="44" t="n">
        <v>0.1</v>
      </c>
      <c r="F7" s="39" t="inlineStr">
        <is>
          <t>Should roughly sum to 100% across 4 cohorts</t>
        </is>
      </c>
    </row>
    <row r="8" ht="54.75" customHeight="1" s="30">
      <c r="A8" s="42" t="inlineStr">
        <is>
          <t>Primary channels (2-3)</t>
        </is>
      </c>
      <c r="B8" s="38" t="inlineStr">
        <is>
          <t>Email/CRM, In-store clienteling, Magazine print, Referral</t>
        </is>
      </c>
      <c r="C8" s="38" t="inlineStr">
        <is>
          <t>Facebook Ads, Magazine print, Cross-brand CRM, Referral</t>
        </is>
      </c>
      <c r="D8" s="38" t="inlineStr">
        <is>
          <t>Instagram Ads, Google Ads, Influencer partnerships, Social content</t>
        </is>
      </c>
      <c r="E8" s="38" t="inlineStr">
        <is>
          <t>Instagram Ads, Influencer partnerships, TikTok</t>
        </is>
      </c>
      <c r="F8" s="39" t="inlineStr">
        <is>
          <t>e.g. "In-store, SMS clienteling, regional print" or "Instagram, influencers, performance"</t>
        </is>
      </c>
    </row>
    <row r="9" ht="54.75" customHeight="1" s="30">
      <c r="A9" s="42" t="inlineStr">
        <is>
          <t>Top product preference</t>
        </is>
      </c>
      <c r="B9" s="38" t="inlineStr">
        <is>
          <t>Heirloom-quality embroidered and beaded gowns, hand-finished evening pieces</t>
        </is>
      </c>
      <c r="C9" s="38" t="inlineStr">
        <is>
          <t>Heirloom-quality embroidered and beaded gowns, hand-finished evening pieces</t>
        </is>
      </c>
      <c r="D9" s="38" t="inlineStr">
        <is>
          <t>Design-led occasion wear, contemporary silhouettes in artisan fabrics</t>
        </is>
      </c>
      <c r="E9" s="38" t="inlineStr">
        <is>
          <t>Design-led occasion wear, contemporary silhouettes in artisan fabrics</t>
        </is>
      </c>
      <c r="F9" s="39" t="inlineStr">
        <is>
          <t>e.g. "Heritage embroidered gowns" or "Modern occasion ready-to-wear"</t>
        </is>
      </c>
    </row>
    <row r="10" ht="54.75" customHeight="1" s="30">
      <c r="A10" s="42" t="inlineStr">
        <is>
          <t>Price sensitivity (Low/Med/High)</t>
        </is>
      </c>
      <c r="B10" s="38" t="inlineStr">
        <is>
          <t>Low</t>
        </is>
      </c>
      <c r="C10" s="38" t="inlineStr">
        <is>
          <t>Medium</t>
        </is>
      </c>
      <c r="D10" s="38" t="inlineStr">
        <is>
          <t>High</t>
        </is>
      </c>
      <c r="E10" s="38" t="inlineStr">
        <is>
          <t>High</t>
        </is>
      </c>
      <c r="F10" s="39" t="inlineStr">
        <is>
          <t>One word</t>
        </is>
      </c>
    </row>
    <row r="11" ht="54.75" customHeight="1" s="30">
      <c r="A11" s="42" t="inlineStr">
        <is>
          <t>One-line insight</t>
        </is>
      </c>
      <c r="B11" s="38" t="inlineStr">
        <is>
          <t>Build a wardrobe of formal occasion pieces for the events on their calendar. Trust Okhiya for important moments.</t>
        </is>
      </c>
      <c r="C11" s="38" t="inlineStr">
        <is>
          <t>Looking for heritage-quality occasion wear and willing to invest. Haven't discovered Okhiya yet, brand trust barrier and store discovery problem.</t>
        </is>
      </c>
      <c r="D11" s="38" t="inlineStr">
        <is>
          <t>Want occasion wear that signals taste and individuality. Return to brands that get the design-meets-craft balance right.</t>
        </is>
      </c>
      <c r="E11" s="38" t="inlineStr">
        <is>
          <t>Often dressing for their first formal events. Look to Instagram and brands for guidance on what to wear.</t>
        </is>
      </c>
      <c r="F11" s="39" t="inlineStr">
        <is>
          <t>The single most important thing a marketer needs to know about what moves this cohort</t>
        </is>
      </c>
    </row>
    <row r="12" ht="54.75" customHeight="1" s="30">
      <c r="A12" s="42" t="inlineStr">
        <is>
          <t>Growth potential (Low/Med/High)</t>
        </is>
      </c>
      <c r="B12" s="38" t="inlineStr">
        <is>
          <t>Low</t>
        </is>
      </c>
      <c r="C12" s="38" t="inlineStr">
        <is>
          <t>Medium</t>
        </is>
      </c>
      <c r="D12" s="38" t="inlineStr">
        <is>
          <t xml:space="preserve">High </t>
        </is>
      </c>
      <c r="E12" s="38" t="inlineStr">
        <is>
          <t xml:space="preserve">High </t>
        </is>
      </c>
      <c r="F12" s="39" t="inlineStr">
        <is>
          <t>How much headroom is there to grow this cohort for Diwali?</t>
        </is>
      </c>
    </row>
    <row r="13" ht="42" customHeight="1" s="30">
      <c r="A13" s="40" t="inlineStr">
        <is>
          <t>Competitive intensity (Low/Med/High)</t>
        </is>
      </c>
      <c r="B13" s="38" t="inlineStr">
        <is>
          <t>Low</t>
        </is>
      </c>
      <c r="C13" s="38" t="inlineStr">
        <is>
          <t>Medium</t>
        </is>
      </c>
      <c r="D13" s="38" t="inlineStr">
        <is>
          <t>Medium</t>
        </is>
      </c>
      <c r="E13" s="38" t="inlineStr">
        <is>
          <t>High</t>
        </is>
      </c>
      <c r="F13" s="39" t="inlineStr">
        <is>
          <t>How much fight from competitors for this cohort</t>
        </is>
      </c>
    </row>
    <row r="14" ht="42" customHeight="1" s="30">
      <c r="A14" s="40" t="inlineStr">
        <is>
          <t>Key competitors (comma-separated)</t>
        </is>
      </c>
      <c r="B14" s="38" t="inlineStr">
        <is>
          <t>Carolina Herrera, Oscar de la Renta, J.Mendel, atelier dressmakers</t>
        </is>
      </c>
      <c r="C14" s="38" t="inlineStr">
        <is>
          <t>Carolina Herrera, Tadashi Shoji, Adrianna Papell, regional bridal salons</t>
        </is>
      </c>
      <c r="D14" s="38" t="inlineStr">
        <is>
          <t>Reformation, Doen, Christy Dawn, Ulla Johnson</t>
        </is>
      </c>
      <c r="E14" s="38" t="inlineStr">
        <is>
          <t>Reformation, House of CB, Saloni, Instagram-native DTC occasion brands</t>
        </is>
      </c>
      <c r="F14" s="39" t="inlineStr">
        <is>
          <t>Who else is fighting for this customer</t>
        </is>
      </c>
    </row>
    <row r="15" ht="42" customHeight="1" s="30">
      <c r="A15" s="40" t="inlineStr">
        <is>
          <t>Historic YoY growth (%)</t>
        </is>
      </c>
      <c r="B15" s="38" t="inlineStr">
        <is>
          <t>8%</t>
        </is>
      </c>
      <c r="C15" s="38" t="inlineStr">
        <is>
          <t>12%</t>
        </is>
      </c>
      <c r="D15" s="38" t="inlineStr">
        <is>
          <t>18%</t>
        </is>
      </c>
      <c r="E15" s="38" t="inlineStr">
        <is>
          <t>25%</t>
        </is>
      </c>
      <c r="F15" s="39" t="inlineStr">
        <is>
          <t>Actual growth rate from this cohort last year</t>
        </is>
      </c>
    </row>
    <row r="16" ht="42" customHeight="1" s="30">
      <c r="A16" s="40" t="inlineStr">
        <is>
          <t>Acquisition difficulty (Low/Med/High)</t>
        </is>
      </c>
      <c r="B16" s="38" t="inlineStr">
        <is>
          <t>Low</t>
        </is>
      </c>
      <c r="C16" s="38" t="inlineStr">
        <is>
          <t>High</t>
        </is>
      </c>
      <c r="D16" s="38" t="inlineStr">
        <is>
          <t>Low</t>
        </is>
      </c>
      <c r="E16" s="38" t="inlineStr">
        <is>
          <t>Medium</t>
        </is>
      </c>
      <c r="F16" s="39" t="inlineStr">
        <is>
          <t>Existing customers = Low by definition; new = depends on brand trust barrier</t>
        </is>
      </c>
    </row>
    <row r="17" ht="42" customHeight="1" s="30">
      <c r="A17" s="40" t="inlineStr">
        <is>
          <t>Retention rate (%)</t>
        </is>
      </c>
      <c r="B17" s="38" t="inlineStr">
        <is>
          <t>85%</t>
        </is>
      </c>
      <c r="C17" s="38" t="inlineStr">
        <is>
          <t>40%</t>
        </is>
      </c>
      <c r="D17" s="38" t="inlineStr">
        <is>
          <t>65%</t>
        </is>
      </c>
      <c r="E17" s="38" t="inlineStr">
        <is>
          <t>20%</t>
        </is>
      </c>
      <c r="F17" s="39" t="inlineStr">
        <is>
          <t>What % return for another purchase</t>
        </is>
      </c>
    </row>
    <row r="18" ht="42" customHeight="1" s="30">
      <c r="A18" s="40" t="inlineStr">
        <is>
          <t>Estimated LTV ($)</t>
        </is>
      </c>
      <c r="B18" s="38" t="n">
        <v>3400</v>
      </c>
      <c r="C18" s="38" t="n">
        <v>2200</v>
      </c>
      <c r="D18" s="38" t="n">
        <v>2800</v>
      </c>
      <c r="E18" s="38" t="n">
        <v>1000</v>
      </c>
      <c r="F18" s="39" t="inlineStr">
        <is>
          <t>Projected lifetime value over 5 years</t>
        </is>
      </c>
    </row>
    <row r="19" ht="42" customHeight="1" s="30">
      <c r="A19" s="40" t="inlineStr">
        <is>
          <t>Reachable share of cohort (%)</t>
        </is>
      </c>
      <c r="B19" s="38" t="inlineStr">
        <is>
          <t>70%</t>
        </is>
      </c>
      <c r="C19" s="38" t="inlineStr">
        <is>
          <t>50%</t>
        </is>
      </c>
      <c r="D19" s="38" t="inlineStr">
        <is>
          <t>85%</t>
        </is>
      </c>
      <c r="E19" s="38" t="inlineStr">
        <is>
          <t>85%</t>
        </is>
      </c>
      <c r="F19" s="39" t="inlineStr">
        <is>
          <t>What % of this cohort can realistically be touched by a campaign, Agent 5 uses this</t>
        </is>
      </c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0" showOutlineSymbols="1" defaultGridColor="1" view="normal" topLeftCell="C9" colorId="64" zoomScale="100" zoomScaleNormal="100" zoomScalePageLayoutView="100" workbookViewId="0">
      <selection pane="topLeft" activeCell="H17" activeCellId="0" sqref="H17"/>
    </sheetView>
  </sheetViews>
  <sheetFormatPr baseColWidth="8" defaultColWidth="8.6796875" defaultRowHeight="14.25" zeroHeight="0" outlineLevelRow="0"/>
  <cols>
    <col width="36" customWidth="1" style="29" min="1" max="1"/>
    <col width="26" customWidth="1" style="29" min="2" max="2"/>
    <col width="36" customWidth="1" style="29" min="3" max="4"/>
    <col width="18" customWidth="1" style="29" min="5" max="5"/>
    <col width="22" customWidth="1" style="29" min="6" max="7"/>
  </cols>
  <sheetData>
    <row r="1" ht="18" customHeight="1" s="30">
      <c r="A1" s="35" t="inlineStr">
        <is>
          <t>CHANNEL ASSUMPTIONS (for Agent C: Media + Impact)</t>
        </is>
      </c>
    </row>
    <row r="2" ht="14.25" customHeight="1" s="30">
      <c r="A2" s="45" t="inlineStr">
        <is>
          <t>These are the "visible, editable assumptions" your Ethics beat refers to. Ballpark OK.</t>
        </is>
      </c>
    </row>
    <row r="4" ht="36" customHeight="1" s="30">
      <c r="A4" s="46" t="inlineStr">
        <is>
          <t>Channel</t>
        </is>
      </c>
      <c r="B4" s="46" t="inlineStr">
        <is>
          <t>Typical CPM or CAC (₹)</t>
        </is>
      </c>
      <c r="C4" s="46" t="inlineStr">
        <is>
          <t>Expected conversion lift</t>
        </is>
      </c>
      <c r="D4" s="46" t="inlineStr">
        <is>
          <t>Best-fit cohort</t>
        </is>
      </c>
      <c r="E4" s="46" t="inlineStr">
        <is>
          <t>Effectiveness multiplier</t>
        </is>
      </c>
      <c r="F4" s="46" t="inlineStr">
        <is>
          <t>Measurability (Direct/Indirect)</t>
        </is>
      </c>
      <c r="G4" s="46" t="inlineStr">
        <is>
          <t>Typical campaign budget share (%)</t>
        </is>
      </c>
      <c r="H4" s="47" t="inlineStr">
        <is>
          <t xml:space="preserve">Cost per customer reached </t>
        </is>
      </c>
    </row>
    <row r="5" ht="39.75" customHeight="1" s="30">
      <c r="A5" s="48" t="inlineStr">
        <is>
          <t>In-store clienteling</t>
        </is>
      </c>
      <c r="B5" s="49" t="inlineStr">
        <is>
          <t>CAC $50–100 (staff time)</t>
        </is>
      </c>
      <c r="C5" s="49" t="inlineStr">
        <is>
          <t>30–40% conversion on targeted outreach</t>
        </is>
      </c>
      <c r="D5" s="49" t="inlineStr">
        <is>
          <t>Classic Repeat</t>
        </is>
      </c>
      <c r="E5" s="49" t="inlineStr">
        <is>
          <t>1.40x</t>
        </is>
      </c>
      <c r="F5" s="49" t="inlineStr">
        <is>
          <t>Direct</t>
        </is>
      </c>
      <c r="G5" s="49" t="inlineStr">
        <is>
          <t>15%</t>
        </is>
      </c>
      <c r="H5" s="29" t="n">
        <v>75</v>
      </c>
    </row>
    <row r="6" ht="39.75" customHeight="1" s="30">
      <c r="A6" s="48" t="inlineStr">
        <is>
          <t>SMS / Messaging Business</t>
        </is>
      </c>
      <c r="B6" s="49" t="inlineStr">
        <is>
          <t>CAC $5–15</t>
        </is>
      </c>
      <c r="C6" s="49" t="inlineStr">
        <is>
          <t>8–12% click-to-store, 3–5% purchase</t>
        </is>
      </c>
      <c r="D6" s="49" t="inlineStr">
        <is>
          <t>Classic Repeat, Contemporary Repeat</t>
        </is>
      </c>
      <c r="E6" s="49" t="inlineStr">
        <is>
          <t>1.30x</t>
        </is>
      </c>
      <c r="F6" s="49" t="inlineStr">
        <is>
          <t>Direct</t>
        </is>
      </c>
      <c r="G6" s="49" t="inlineStr">
        <is>
          <t>8%</t>
        </is>
      </c>
      <c r="H6" s="29" t="n">
        <v>10</v>
      </c>
    </row>
    <row r="7" ht="39.75" customHeight="1" s="30">
      <c r="A7" s="48" t="inlineStr">
        <is>
          <t>National TV / Magazine print</t>
        </is>
      </c>
      <c r="B7" s="49" t="inlineStr">
        <is>
          <t>CPM $20–40</t>
        </is>
      </c>
      <c r="C7" s="49" t="inlineStr">
        <is>
          <t>Brand lift 15–20%, low direct attribution</t>
        </is>
      </c>
      <c r="D7" s="49" t="inlineStr">
        <is>
          <t>Classic New, Classic Repeat</t>
        </is>
      </c>
      <c r="E7" s="49" t="inlineStr">
        <is>
          <t>0.90x</t>
        </is>
      </c>
      <c r="F7" s="49" t="inlineStr">
        <is>
          <t>Indirect</t>
        </is>
      </c>
      <c r="G7" s="49" t="inlineStr">
        <is>
          <t>18%</t>
        </is>
      </c>
      <c r="H7" s="29" t="n">
        <v>12</v>
      </c>
    </row>
    <row r="8" ht="39.75" customHeight="1" s="30">
      <c r="A8" s="48" t="inlineStr">
        <is>
          <t>Radio (national + podcast)</t>
        </is>
      </c>
      <c r="B8" s="49" t="inlineStr">
        <is>
          <t>CPM $10–20</t>
        </is>
      </c>
      <c r="C8" s="49" t="inlineStr">
        <is>
          <t>Brand lift 8–12%, drives store footfall</t>
        </is>
      </c>
      <c r="D8" s="49" t="inlineStr">
        <is>
          <t>Classic Repeat, Classic New</t>
        </is>
      </c>
      <c r="E8" s="49" t="inlineStr">
        <is>
          <t>0.85x</t>
        </is>
      </c>
      <c r="F8" s="49" t="inlineStr">
        <is>
          <t>Indirect</t>
        </is>
      </c>
      <c r="G8" s="49" t="inlineStr">
        <is>
          <t>5%</t>
        </is>
      </c>
      <c r="H8" s="29" t="n">
        <v>9</v>
      </c>
    </row>
    <row r="9" ht="39.75" customHeight="1" s="30">
      <c r="A9" s="48" t="inlineStr">
        <is>
          <t>Instagram (organic + paid)</t>
        </is>
      </c>
      <c r="B9" s="49" t="inlineStr">
        <is>
          <t>CPM $8–15, CAC $25–50</t>
        </is>
      </c>
      <c r="C9" s="49" t="inlineStr">
        <is>
          <t>2–4% CTR, 1–2% purchase</t>
        </is>
      </c>
      <c r="D9" s="49" t="inlineStr">
        <is>
          <t>Contemporary New, Contemporary Repeat</t>
        </is>
      </c>
      <c r="E9" s="49" t="inlineStr">
        <is>
          <t>1.15x</t>
        </is>
      </c>
      <c r="F9" s="49" t="inlineStr">
        <is>
          <t>Direct</t>
        </is>
      </c>
      <c r="G9" s="49" t="inlineStr">
        <is>
          <t>15%</t>
        </is>
      </c>
      <c r="H9" s="29" t="n">
        <v>20</v>
      </c>
    </row>
    <row r="10" ht="39.75" customHeight="1" s="30">
      <c r="A10" s="48" t="inlineStr">
        <is>
          <t>Facebook Ads</t>
        </is>
      </c>
      <c r="B10" s="49" t="inlineStr">
        <is>
          <t>CPM $7–12, CAC $20–40</t>
        </is>
      </c>
      <c r="C10" s="49" t="inlineStr">
        <is>
          <t>1.5–3% CTR, 1–2% purchase</t>
        </is>
      </c>
      <c r="D10" s="49" t="inlineStr">
        <is>
          <t>Classic New, Classic Repeat</t>
        </is>
      </c>
      <c r="E10" s="49" t="inlineStr">
        <is>
          <t>1.10x</t>
        </is>
      </c>
      <c r="F10" s="49" t="inlineStr">
        <is>
          <t>Direct</t>
        </is>
      </c>
      <c r="G10" s="49" t="inlineStr">
        <is>
          <t>8%</t>
        </is>
      </c>
      <c r="H10" s="29" t="n">
        <v>15</v>
      </c>
    </row>
    <row r="11" ht="39.75" customHeight="1" s="30">
      <c r="A11" s="48" t="inlineStr">
        <is>
          <t>Influencer partnerships</t>
        </is>
      </c>
      <c r="B11" s="49" t="inlineStr">
        <is>
          <t>CAC $80–200</t>
        </is>
      </c>
      <c r="C11" s="49" t="inlineStr">
        <is>
          <t>5–8% engagement-to-store-visit</t>
        </is>
      </c>
      <c r="D11" s="49" t="inlineStr">
        <is>
          <t>Contemporary New, Contemporary Repeat</t>
        </is>
      </c>
      <c r="E11" s="49" t="inlineStr">
        <is>
          <t>1.25x</t>
        </is>
      </c>
      <c r="F11" s="49" t="inlineStr">
        <is>
          <t>Indirect</t>
        </is>
      </c>
      <c r="G11" s="49" t="inlineStr">
        <is>
          <t>10%</t>
        </is>
      </c>
      <c r="H11" s="29" t="n">
        <v>120</v>
      </c>
    </row>
    <row r="12" ht="39.75" customHeight="1" s="30">
      <c r="A12" s="48" t="inlineStr">
        <is>
          <t>Google Search / Shopping</t>
        </is>
      </c>
      <c r="B12" s="49" t="inlineStr">
        <is>
          <t>CAC $40–100</t>
        </is>
      </c>
      <c r="C12" s="49" t="inlineStr">
        <is>
          <t>4–6% on high-intent queries</t>
        </is>
      </c>
      <c r="D12" s="49" t="inlineStr">
        <is>
          <t>Contemporary New, Classic New</t>
        </is>
      </c>
      <c r="E12" s="49" t="inlineStr">
        <is>
          <t>1.30x</t>
        </is>
      </c>
      <c r="F12" s="49" t="inlineStr">
        <is>
          <t>Direct</t>
        </is>
      </c>
      <c r="G12" s="49" t="inlineStr">
        <is>
          <t>7%</t>
        </is>
      </c>
      <c r="H12" s="29" t="n">
        <v>60</v>
      </c>
    </row>
    <row r="13" ht="39.75" customHeight="1" s="30">
      <c r="A13" s="48" t="inlineStr">
        <is>
          <t>Email / CRM (house list)</t>
        </is>
      </c>
      <c r="B13" s="49" t="inlineStr">
        <is>
          <t>CAC $1–3</t>
        </is>
      </c>
      <c r="C13" s="49" t="inlineStr">
        <is>
          <t>2–3% open-to-purchase on warm list</t>
        </is>
      </c>
      <c r="D13" s="49" t="inlineStr">
        <is>
          <t>Classic Repeat, Contemporary Repeat</t>
        </is>
      </c>
      <c r="E13" s="49" t="inlineStr">
        <is>
          <t>1.50x</t>
        </is>
      </c>
      <c r="F13" s="49" t="inlineStr">
        <is>
          <t>Direct</t>
        </is>
      </c>
      <c r="G13" s="49" t="inlineStr">
        <is>
          <t>4%</t>
        </is>
      </c>
      <c r="H13" s="29" t="n">
        <v>3</v>
      </c>
    </row>
    <row r="14" ht="39.75" customHeight="1" s="30">
      <c r="A14" s="48" t="inlineStr">
        <is>
          <t>Cross-brand CRM (partner network)</t>
        </is>
      </c>
      <c r="B14" s="49" t="inlineStr">
        <is>
          <t>CAC $5–12</t>
        </is>
      </c>
      <c r="C14" s="49" t="inlineStr">
        <is>
          <t>3–5% conversion from partner-brand lists</t>
        </is>
      </c>
      <c r="D14" s="49" t="inlineStr">
        <is>
          <t>Classic New, Contemporary New</t>
        </is>
      </c>
      <c r="E14" s="49" t="inlineStr">
        <is>
          <t>1.35x</t>
        </is>
      </c>
      <c r="F14" s="49" t="inlineStr">
        <is>
          <t>Direct</t>
        </is>
      </c>
      <c r="G14" s="49" t="inlineStr">
        <is>
          <t>5%</t>
        </is>
      </c>
      <c r="H14" s="29" t="n">
        <v>12</v>
      </c>
    </row>
    <row r="15" ht="39.75" customHeight="1" s="30">
      <c r="A15" s="48" t="inlineStr">
        <is>
          <t>Referral / word-of-mouth program</t>
        </is>
      </c>
      <c r="B15" s="49" t="inlineStr">
        <is>
          <t>CAC $10–25 (incentive-led)</t>
        </is>
      </c>
      <c r="C15" s="49" t="inlineStr">
        <is>
          <t>10–15% conversion from referred leads</t>
        </is>
      </c>
      <c r="D15" s="49" t="inlineStr">
        <is>
          <t>Classic New, Classic Repeat</t>
        </is>
      </c>
      <c r="E15" s="49" t="inlineStr">
        <is>
          <t>1.45x</t>
        </is>
      </c>
      <c r="F15" s="49" t="inlineStr">
        <is>
          <t>Direct</t>
        </is>
      </c>
      <c r="G15" s="49" t="inlineStr">
        <is>
          <t>3%</t>
        </is>
      </c>
      <c r="H15" s="29" t="n">
        <v>30</v>
      </c>
    </row>
    <row r="16" ht="39.75" customHeight="1" s="30">
      <c r="A16" s="48" t="inlineStr">
        <is>
          <t>OOH (billboards in metros)</t>
        </is>
      </c>
      <c r="B16" s="49" t="inlineStr">
        <is>
          <t>CPM $15–25</t>
        </is>
      </c>
      <c r="C16" s="49" t="inlineStr">
        <is>
          <t>Brand lift 8–12%, no direct attribution</t>
        </is>
      </c>
      <c r="D16" s="49" t="inlineStr">
        <is>
          <t>Contemporary New (metro), Classic New (metro)</t>
        </is>
      </c>
      <c r="E16" s="49" t="inlineStr">
        <is>
          <t>0.80x</t>
        </is>
      </c>
      <c r="F16" s="49" t="inlineStr">
        <is>
          <t>Indirect</t>
        </is>
      </c>
      <c r="G16" s="49" t="inlineStr">
        <is>
          <t>2%</t>
        </is>
      </c>
      <c r="H16" s="29" t="n">
        <v>6</v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24" customWidth="1" style="29" min="1" max="1"/>
    <col width="65" customWidth="1" style="29" min="2" max="2"/>
    <col width="40" customWidth="1" style="29" min="3" max="3"/>
  </cols>
  <sheetData>
    <row r="1" ht="18" customHeight="1" s="30">
      <c r="A1" s="50" t="inlineStr">
        <is>
          <t>BRAND GUIDELINES: Okhiya</t>
        </is>
      </c>
    </row>
    <row r="2" ht="14.25" customHeight="1" s="30">
      <c r="A2" s="45" t="inlineStr">
        <is>
          <t>Agent 2 reads this as part of the consolidated context. Agent 3 (Creative) checks outputs against it.</t>
        </is>
      </c>
    </row>
    <row r="4" ht="21.75" customHeight="1" s="30">
      <c r="A4" s="46" t="inlineStr">
        <is>
          <t>Dimension</t>
        </is>
      </c>
      <c r="B4" s="46" t="inlineStr">
        <is>
          <t>Value</t>
        </is>
      </c>
      <c r="C4" s="46" t="inlineStr">
        <is>
          <t>Notes</t>
        </is>
      </c>
    </row>
    <row r="5" ht="42" customHeight="1" s="30">
      <c r="A5" s="40" t="inlineStr">
        <is>
          <t>Tone of voice</t>
        </is>
      </c>
      <c r="B5" s="38" t="inlineStr">
        <is>
          <t>Warm, rooted, celebratory, confident, never aggressive</t>
        </is>
      </c>
      <c r="C5" s="39" t="inlineStr">
        <is>
          <t>3-5 descriptors that govern all copy</t>
        </is>
      </c>
    </row>
    <row r="6" ht="42" customHeight="1" s="30">
      <c r="A6" s="40" t="inlineStr">
        <is>
          <t>Visual anchors</t>
        </is>
      </c>
      <c r="B6" s="38" t="inlineStr">
        <is>
          <t>Handcrafted textures, artisan hands, ateliers, embroidery details, natural light, drape-centric framing, earthy palette</t>
        </is>
      </c>
      <c r="C6" s="39" t="inlineStr">
        <is>
          <t>Visual language of the brand</t>
        </is>
      </c>
    </row>
    <row r="7" ht="42" customHeight="1" s="30">
      <c r="A7" s="40" t="inlineStr">
        <is>
          <t>Messaging do's</t>
        </is>
      </c>
      <c r="B7" s="38" t="inlineStr">
        <is>
          <t>Celebrate the craft; name the artisan or technique; honor the occasion; feature the wearer's story; reference heritage and provenance</t>
        </is>
      </c>
      <c r="C7" s="39" t="inlineStr">
        <is>
          <t>What creative SHOULD lean into</t>
        </is>
      </c>
    </row>
    <row r="8" ht="42" customHeight="1" s="30">
      <c r="A8" s="40" t="inlineStr">
        <is>
          <t>Messaging don'ts</t>
        </is>
      </c>
      <c r="B8" s="38" t="inlineStr">
        <is>
          <t>No fast-fashion language; no discount-led messaging; no generic festive clichés; no excessive urgency; no diminishing tradition</t>
        </is>
      </c>
      <c r="C8" s="39" t="inlineStr">
        <is>
          <t>What creative must NOT do</t>
        </is>
      </c>
    </row>
    <row r="9" ht="42" customHeight="1" s="30">
      <c r="A9" s="40" t="inlineStr">
        <is>
          <t>Approved vocabulary</t>
        </is>
      </c>
      <c r="B9" s="38" t="inlineStr">
        <is>
          <t>heritage, craft, artisan, weave, embroidery, hand-finished, atelier, occasion, timeless, rooted, celebration</t>
        </is>
      </c>
      <c r="C9" s="39" t="inlineStr">
        <is>
          <t>Words Agent 3 can use freely</t>
        </is>
      </c>
    </row>
    <row r="10" ht="42" customHeight="1" s="30">
      <c r="A10" s="40" t="inlineStr">
        <is>
          <t>Off-limits vocabulary</t>
        </is>
      </c>
      <c r="B10" s="38" t="inlineStr">
        <is>
          <t>sale, bargain, cheap, viral, trendy (alone), flash, grab, deal, steal</t>
        </is>
      </c>
      <c r="C10" s="39" t="inlineStr">
        <is>
          <t>Words Agent 3 must avoid</t>
        </is>
      </c>
    </row>
    <row r="11" ht="42" customHeight="1" s="30">
      <c r="A11" s="40" t="inlineStr">
        <is>
          <t>Brand archetype</t>
        </is>
      </c>
      <c r="B11" s="38" t="inlineStr">
        <is>
          <t>Creator / Lover</t>
        </is>
      </c>
      <c r="C11" s="39" t="inlineStr">
        <is>
          <t>Jungian archetype, guides tone</t>
        </is>
      </c>
    </row>
    <row r="12" ht="42" customHeight="1" s="30">
      <c r="A12" s="40" t="inlineStr">
        <is>
          <t>Core promise</t>
        </is>
      </c>
      <c r="B12" s="38" t="inlineStr">
        <is>
          <t>Design-differentiated handcrafted occasion wear, rooted in global craft traditions</t>
        </is>
      </c>
      <c r="C12" s="39" t="inlineStr">
        <is>
          <t>One-sentence brand essence</t>
        </is>
      </c>
    </row>
    <row r="13" ht="42" customHeight="1" s="30">
      <c r="A13" s="40" t="inlineStr">
        <is>
          <t>Target emotional state</t>
        </is>
      </c>
      <c r="B13" s="38" t="inlineStr">
        <is>
          <t>Confidence, anticipation, celebration, presence</t>
        </is>
      </c>
      <c r="C13" s="39" t="inlineStr">
        <is>
          <t>What the customer should feel wearing Okhiya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40" customWidth="1" style="29" min="1" max="1"/>
    <col width="14" customWidth="1" style="29" min="2" max="3"/>
    <col width="60" customWidth="1" style="29" min="4" max="4"/>
  </cols>
  <sheetData>
    <row r="1" ht="18" customHeight="1" s="30">
      <c r="A1" s="50" t="inlineStr">
        <is>
          <t>INDUSTRY TRENDS: US Occasion Wear / Premium Wedding Apparel Category</t>
        </is>
      </c>
    </row>
    <row r="2" ht="14.25" customHeight="1" s="30">
      <c r="A2" s="45" t="inlineStr">
        <is>
          <t>Agent 2 consumes this to inform the strategic direction. Tailwinds favor investment; headwinds warrant defense.</t>
        </is>
      </c>
    </row>
    <row r="4" ht="21.75" customHeight="1" s="30">
      <c r="A4" s="46" t="inlineStr">
        <is>
          <t>Trend</t>
        </is>
      </c>
      <c r="B4" s="46" t="inlineStr">
        <is>
          <t>Direction</t>
        </is>
      </c>
      <c r="C4" s="46" t="inlineStr">
        <is>
          <t>Relevance</t>
        </is>
      </c>
      <c r="D4" s="46" t="inlineStr">
        <is>
          <t>One-line description</t>
        </is>
      </c>
    </row>
    <row r="5" ht="37.5" customHeight="1" s="30">
      <c r="A5" s="40" t="inlineStr">
        <is>
          <t>Premium occasion wear category growth</t>
        </is>
      </c>
      <c r="B5" s="51" t="inlineStr">
        <is>
          <t>Tailwind</t>
        </is>
      </c>
      <c r="C5" s="51" t="inlineStr">
        <is>
          <t>High</t>
        </is>
      </c>
      <c r="D5" s="37" t="inlineStr">
        <is>
          <t>Category growing ~8% YoY driven by elevated wedding demand and rising spend on formal occasions</t>
        </is>
      </c>
    </row>
    <row r="6" ht="37.5" customHeight="1" s="30">
      <c r="A6" s="40" t="inlineStr">
        <is>
          <t>Post-pandemic wedding demand rebound</t>
        </is>
      </c>
      <c r="B6" s="51" t="inlineStr">
        <is>
          <t>Tailwind</t>
        </is>
      </c>
      <c r="C6" s="51" t="inlineStr">
        <is>
          <t>High</t>
        </is>
      </c>
      <c r="D6" s="37" t="inlineStr">
        <is>
          <t>US wedding volumes elevated for 2-3 more years; backlog still working through</t>
        </is>
      </c>
    </row>
    <row r="7" ht="37.5" customHeight="1" s="30">
      <c r="A7" s="40" t="inlineStr">
        <is>
          <t>Gen Z shift toward modern, expressive occasion wear</t>
        </is>
      </c>
      <c r="B7" s="51" t="inlineStr">
        <is>
          <t>Mixed</t>
        </is>
      </c>
      <c r="C7" s="51" t="inlineStr">
        <is>
          <t>Medium</t>
        </is>
      </c>
      <c r="D7" s="37" t="inlineStr">
        <is>
          <t>Younger buyers blending traditional formality with contemporary cuts, benefits brands with range, hurts purely traditional players</t>
        </is>
      </c>
    </row>
    <row r="8" ht="37.5" customHeight="1" s="30">
      <c r="A8" s="40" t="inlineStr">
        <is>
          <t>Rising digital discovery for occasion wear</t>
        </is>
      </c>
      <c r="B8" s="51" t="inlineStr">
        <is>
          <t>Tailwind</t>
        </is>
      </c>
      <c r="C8" s="51" t="inlineStr">
        <is>
          <t>Medium</t>
        </is>
      </c>
      <c r="D8" s="37" t="inlineStr">
        <is>
          <t>Even traditional buyers now researching gowns on Instagram and Pinterest before store visits or trunk shows</t>
        </is>
      </c>
    </row>
    <row r="9" ht="37.5" customHeight="1" s="30">
      <c r="A9" s="40" t="inlineStr">
        <is>
          <t>Sustainability and artisan-sourcing preference</t>
        </is>
      </c>
      <c r="B9" s="51" t="inlineStr">
        <is>
          <t>Tailwind</t>
        </is>
      </c>
      <c r="C9" s="51" t="inlineStr">
        <is>
          <t>Medium</t>
        </is>
      </c>
      <c r="D9" s="37" t="inlineStr">
        <is>
          <t>Customers increasingly value provenance, artisan stories, and ethical sourcing, plays to Okhiya strengths</t>
        </is>
      </c>
    </row>
    <row r="10" ht="37.5" customHeight="1" s="30">
      <c r="A10" s="40" t="inlineStr">
        <is>
          <t>Rise of Instagram-native DTC occasion brands</t>
        </is>
      </c>
      <c r="B10" s="51" t="inlineStr">
        <is>
          <t>Headwind</t>
        </is>
      </c>
      <c r="C10" s="51" t="inlineStr">
        <is>
          <t>Medium</t>
        </is>
      </c>
      <c r="D10" s="37" t="inlineStr">
        <is>
          <t>Fast-moving digital-first brands stealing Trendy New wallet share with agile pricing and creative</t>
        </is>
      </c>
    </row>
    <row r="11" ht="37.5" customHeight="1" s="30">
      <c r="A11" s="40" t="inlineStr">
        <is>
          <t>Rental and resale disruption (Rent the Runway, Nuuly, ThredUp)</t>
        </is>
      </c>
      <c r="B11" s="51" t="inlineStr">
        <is>
          <t>Headwind</t>
        </is>
      </c>
      <c r="C11" s="51" t="inlineStr">
        <is>
          <t>Medium</t>
        </is>
      </c>
      <c r="D11" s="37" t="inlineStr">
        <is>
          <t>Younger occasion-wear buyers increasingly renting rather than buying for one-off events</t>
        </is>
      </c>
    </row>
    <row r="12" ht="37.5" customHeight="1" s="30">
      <c r="A12" s="40" t="inlineStr">
        <is>
          <t>Inflation pressure on discretionary spend</t>
        </is>
      </c>
      <c r="B12" s="51" t="inlineStr">
        <is>
          <t>Headwind</t>
        </is>
      </c>
      <c r="C12" s="51" t="inlineStr">
        <is>
          <t>Low</t>
        </is>
      </c>
      <c r="D12" s="37" t="inlineStr">
        <is>
          <t>Mild headwind at premium price points; Okhiya AOV less elastic than mass-market occasion wear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14" customWidth="1" style="29" min="1" max="1"/>
    <col width="22" customWidth="1" style="29" min="2" max="3"/>
    <col width="16" customWidth="1" style="29" min="4" max="4"/>
    <col width="24" customWidth="1" style="29" min="5" max="5"/>
    <col width="45" customWidth="1" style="29" min="6" max="6"/>
  </cols>
  <sheetData>
    <row r="1" ht="18" customHeight="1" s="30">
      <c r="A1" s="50" t="inlineStr">
        <is>
          <t>HISTORIC SALES DATA: Okhiya Last 4 Years</t>
        </is>
      </c>
    </row>
    <row r="2" ht="14.25" customHeight="1" s="30">
      <c r="A2" s="45" t="inlineStr">
        <is>
          <t>Agent 2 reads this for baseline projections. Agent 5 uses YoY growth rates as sanity checks on uplift forecasts.</t>
        </is>
      </c>
    </row>
    <row r="4" ht="21.75" customHeight="1" s="30">
      <c r="A4" s="46" t="inlineStr">
        <is>
          <t>Fiscal Year</t>
        </is>
      </c>
      <c r="B4" s="46" t="inlineStr">
        <is>
          <t>Annual Revenue ($M)</t>
        </is>
      </c>
      <c r="C4" s="46" t="inlineStr">
        <is>
          <t>Fall-Season Revenue ($M)</t>
        </is>
      </c>
      <c r="D4" s="46" t="inlineStr">
        <is>
          <t>YoY Growth (%)</t>
        </is>
      </c>
      <c r="E4" s="46" t="inlineStr">
        <is>
          <t>Best-performing cohort</t>
        </is>
      </c>
      <c r="F4" s="46" t="inlineStr">
        <is>
          <t>Notes</t>
        </is>
      </c>
    </row>
    <row r="5" ht="31.5" customHeight="1" s="30">
      <c r="A5" s="48" t="inlineStr">
        <is>
          <t>FY 2022-23</t>
        </is>
      </c>
      <c r="B5" s="49" t="n">
        <v>85</v>
      </c>
      <c r="C5" s="49" t="n">
        <v>25</v>
      </c>
      <c r="D5" s="49" t="inlineStr">
        <is>
          <t>18%</t>
        </is>
      </c>
      <c r="E5" s="49" t="inlineStr">
        <is>
          <t>Classic Repeat</t>
        </is>
      </c>
      <c r="F5" s="49" t="inlineStr">
        <is>
          <t>Post-COVID rebound, in-store traffic recovering</t>
        </is>
      </c>
    </row>
    <row r="6" ht="31.5" customHeight="1" s="30">
      <c r="A6" s="48" t="inlineStr">
        <is>
          <t>FY 2023-24</t>
        </is>
      </c>
      <c r="B6" s="49" t="n">
        <v>100</v>
      </c>
      <c r="C6" s="49" t="n">
        <v>30</v>
      </c>
      <c r="D6" s="49" t="inlineStr">
        <is>
          <t>18%</t>
        </is>
      </c>
      <c r="E6" s="49" t="inlineStr">
        <is>
          <t>Classic Repeat</t>
        </is>
      </c>
      <c r="F6" s="49" t="inlineStr">
        <is>
          <t>Wedding demand surge, e-commerce expansion</t>
        </is>
      </c>
    </row>
    <row r="7" ht="31.5" customHeight="1" s="30">
      <c r="A7" s="48" t="inlineStr">
        <is>
          <t>FY 2024-25</t>
        </is>
      </c>
      <c r="B7" s="49" t="n">
        <v>112</v>
      </c>
      <c r="C7" s="49" t="n">
        <v>34</v>
      </c>
      <c r="D7" s="49" t="inlineStr">
        <is>
          <t>12%</t>
        </is>
      </c>
      <c r="E7" s="49" t="inlineStr">
        <is>
          <t>Contemporary Repeat</t>
        </is>
      </c>
      <c r="F7" s="49" t="inlineStr">
        <is>
          <t>Modern occasion line launched successfully</t>
        </is>
      </c>
    </row>
    <row r="8" ht="31.5" customHeight="1" s="30">
      <c r="A8" s="48" t="inlineStr">
        <is>
          <t>FY 2025-26</t>
        </is>
      </c>
      <c r="B8" s="49" t="n">
        <v>120</v>
      </c>
      <c r="C8" s="49" t="n">
        <v>36</v>
      </c>
      <c r="D8" s="49" t="inlineStr">
        <is>
          <t>7%</t>
        </is>
      </c>
      <c r="E8" s="49" t="inlineStr">
        <is>
          <t>Classic Repeat</t>
        </is>
      </c>
      <c r="F8" s="49" t="inlineStr">
        <is>
          <t>Current year, organic baseline holding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4.25" zeroHeight="0" outlineLevelRow="0"/>
  <cols>
    <col width="30" customWidth="1" style="29" min="1" max="1"/>
    <col width="50" customWidth="1" style="29" min="2" max="2"/>
    <col width="30" customWidth="1" style="29" min="3" max="3"/>
    <col width="18" customWidth="1" style="29" min="4" max="5"/>
  </cols>
  <sheetData>
    <row r="1" ht="18" customHeight="1" s="30">
      <c r="A1" s="50" t="inlineStr">
        <is>
          <t>COMPETITIVE LANDSCAPE: Okhiya</t>
        </is>
      </c>
    </row>
    <row r="2" ht="14.25" customHeight="1" s="30">
      <c r="A2" s="45" t="inlineStr">
        <is>
          <t>Agent 2 cross-references this with Cohorts to understand where Okhiya faces pressure.</t>
        </is>
      </c>
    </row>
    <row r="4" ht="24" customHeight="1" s="30">
      <c r="A4" s="46" t="inlineStr">
        <is>
          <t>Competitor</t>
        </is>
      </c>
      <c r="B4" s="46" t="inlineStr">
        <is>
          <t>Positioning</t>
        </is>
      </c>
      <c r="C4" s="46" t="inlineStr">
        <is>
          <t>Competes most for</t>
        </is>
      </c>
      <c r="D4" s="46" t="inlineStr">
        <is>
          <t>Competitive strength</t>
        </is>
      </c>
      <c r="E4" s="46" t="inlineStr">
        <is>
          <t>Price tier</t>
        </is>
      </c>
    </row>
    <row r="5" ht="39.75" customHeight="1" s="30">
      <c r="A5" s="40" t="inlineStr">
        <is>
          <t>Reformation</t>
        </is>
      </c>
      <c r="B5" s="38" t="inlineStr">
        <is>
          <t>Sustainable modern occasion wear, design-led, strong DTC presence</t>
        </is>
      </c>
      <c r="C5" s="38" t="inlineStr">
        <is>
          <t>Contemporary Repeat, Contemporary New</t>
        </is>
      </c>
      <c r="D5" s="38" t="inlineStr">
        <is>
          <t>High</t>
        </is>
      </c>
      <c r="E5" s="38" t="inlineStr">
        <is>
          <t>Mid-Premium</t>
        </is>
      </c>
    </row>
    <row r="6" ht="39.75" customHeight="1" s="30">
      <c r="A6" s="40" t="inlineStr">
        <is>
          <t>BHLDN (Anthropologie)</t>
        </is>
      </c>
      <c r="B6" s="38" t="inlineStr">
        <is>
          <t>Accessible occasion and bridal, younger skew, broad retail reach</t>
        </is>
      </c>
      <c r="C6" s="38" t="inlineStr">
        <is>
          <t>Contemporary New</t>
        </is>
      </c>
      <c r="D6" s="38" t="inlineStr">
        <is>
          <t>High</t>
        </is>
      </c>
      <c r="E6" s="38" t="inlineStr">
        <is>
          <t>Accessible</t>
        </is>
      </c>
    </row>
    <row r="7" ht="39.75" customHeight="1" s="30">
      <c r="A7" s="40" t="inlineStr">
        <is>
          <t>Doen</t>
        </is>
      </c>
      <c r="B7" s="38" t="inlineStr">
        <is>
          <t>Romantic heritage-modern, design-led, occasion-adjacent</t>
        </is>
      </c>
      <c r="C7" s="38" t="inlineStr">
        <is>
          <t>Contemporary Repeat</t>
        </is>
      </c>
      <c r="D7" s="38" t="inlineStr">
        <is>
          <t>Medium</t>
        </is>
      </c>
      <c r="E7" s="38" t="inlineStr">
        <is>
          <t>Premium</t>
        </is>
      </c>
    </row>
    <row r="8" ht="39.75" customHeight="1" s="30">
      <c r="A8" s="40" t="inlineStr">
        <is>
          <t>Ulla Johnson</t>
        </is>
      </c>
      <c r="B8" s="38" t="inlineStr">
        <is>
          <t>Designer artisan-modern, premium positioning, sustainability story</t>
        </is>
      </c>
      <c r="C8" s="38" t="inlineStr">
        <is>
          <t>Contemporary Repeat, Contemporary New</t>
        </is>
      </c>
      <c r="D8" s="38" t="inlineStr">
        <is>
          <t>Medium</t>
        </is>
      </c>
      <c r="E8" s="38" t="inlineStr">
        <is>
          <t>Premium</t>
        </is>
      </c>
    </row>
    <row r="9" ht="39.75" customHeight="1" s="30">
      <c r="A9" s="40" t="inlineStr">
        <is>
          <t>Carolina Herrera</t>
        </is>
      </c>
      <c r="B9" s="38" t="inlineStr">
        <is>
          <t>Luxury heritage occasion wear, traditional formality, strong bridal presence</t>
        </is>
      </c>
      <c r="C9" s="38" t="inlineStr">
        <is>
          <t>Classic Repeat, Classic New</t>
        </is>
      </c>
      <c r="D9" s="38" t="inlineStr">
        <is>
          <t>High</t>
        </is>
      </c>
      <c r="E9" s="38" t="inlineStr">
        <is>
          <t>Luxury</t>
        </is>
      </c>
    </row>
    <row r="10" ht="39.75" customHeight="1" s="30">
      <c r="A10" s="40" t="inlineStr">
        <is>
          <t>Tadashi Shoji</t>
        </is>
      </c>
      <c r="B10" s="38" t="inlineStr">
        <is>
          <t>Mother-of-bride and traditional occasion specialist, broad department store reach</t>
        </is>
      </c>
      <c r="C10" s="38" t="inlineStr">
        <is>
          <t>Classic Repeat, Classic New</t>
        </is>
      </c>
      <c r="D10" s="38" t="inlineStr">
        <is>
          <t>High</t>
        </is>
      </c>
      <c r="E10" s="38" t="inlineStr">
        <is>
          <t>Mid-Premium</t>
        </is>
      </c>
    </row>
    <row r="11" ht="39.75" customHeight="1" s="30">
      <c r="A11" s="40" t="inlineStr">
        <is>
          <t>J.Mendel</t>
        </is>
      </c>
      <c r="B11" s="38" t="inlineStr">
        <is>
          <t>Ultra-premium evening and bridal specialist, curated atelier positioning</t>
        </is>
      </c>
      <c r="C11" s="38" t="inlineStr">
        <is>
          <t>Classic Repeat</t>
        </is>
      </c>
      <c r="D11" s="38" t="inlineStr">
        <is>
          <t>Medium</t>
        </is>
      </c>
      <c r="E11" s="38" t="inlineStr">
        <is>
          <t>Luxury</t>
        </is>
      </c>
    </row>
    <row r="12" ht="39.75" customHeight="1" s="30">
      <c r="A12" s="40" t="inlineStr">
        <is>
          <t>Adrianna Papell</t>
        </is>
      </c>
      <c r="B12" s="38" t="inlineStr">
        <is>
          <t>Wide-reach occasion brand, accessible price points, broad department store distribution</t>
        </is>
      </c>
      <c r="C12" s="38" t="inlineStr">
        <is>
          <t>Classic New</t>
        </is>
      </c>
      <c r="D12" s="38" t="inlineStr">
        <is>
          <t>Medium</t>
        </is>
      </c>
      <c r="E12" s="38" t="inlineStr">
        <is>
          <t>Accessible-Mid</t>
        </is>
      </c>
    </row>
    <row r="13" ht="39.75" customHeight="1" s="30">
      <c r="A13" s="40" t="inlineStr">
        <is>
          <t>Instagram-native DTC occasion brands</t>
        </is>
      </c>
      <c r="B13" s="38" t="inlineStr">
        <is>
          <t>Fast-moving influencer-led brands, aggressive pricing, trend-driven designs</t>
        </is>
      </c>
      <c r="C13" s="38" t="inlineStr">
        <is>
          <t>Contemporary New</t>
        </is>
      </c>
      <c r="D13" s="38" t="inlineStr">
        <is>
          <t>Medium</t>
        </is>
      </c>
      <c r="E13" s="38" t="inlineStr">
        <is>
          <t>Accessible</t>
        </is>
      </c>
    </row>
    <row r="14" ht="39.75" customHeight="1" s="30">
      <c r="A14" s="40" t="inlineStr">
        <is>
          <t>House of CB</t>
        </is>
      </c>
      <c r="B14" s="38" t="inlineStr">
        <is>
          <t>Designer occasion and event-wear, celebrity-backed brand equity, social-first growth</t>
        </is>
      </c>
      <c r="C14" s="38" t="inlineStr">
        <is>
          <t>Contemporary Repeat, Contemporary New</t>
        </is>
      </c>
      <c r="D14" s="38" t="inlineStr">
        <is>
          <t>Low-Medium</t>
        </is>
      </c>
      <c r="E14" s="38" t="inlineStr">
        <is>
          <t>Premium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6" activeCellId="0" sqref="A6"/>
    </sheetView>
  </sheetViews>
  <sheetFormatPr baseColWidth="8" defaultColWidth="8.6796875" defaultRowHeight="14.25" zeroHeight="0" outlineLevelRow="0"/>
  <cols>
    <col width="48" customWidth="1" style="29" min="1" max="1"/>
    <col width="32" customWidth="1" style="29" min="2" max="2"/>
    <col width="48" customWidth="1" style="29" min="3" max="3"/>
  </cols>
  <sheetData>
    <row r="1" ht="18" customHeight="1" s="30">
      <c r="A1" s="50" t="inlineStr">
        <is>
          <t>ASSUMPTIONS &amp; MODEL SETTINGS</t>
        </is>
      </c>
    </row>
    <row r="2" ht="31.5" customHeight="1" s="30">
      <c r="A2" s="52" t="inlineStr">
        <is>
          <t>THE CFO-INTERROGATABLE SHEET. Every number Agent 5 uses to calculate uplift lives here, visible, editable, auditable. The agents do the reasoning; the operator owns the assumptions.</t>
        </is>
      </c>
    </row>
    <row r="4" ht="21.75" customHeight="1" s="30">
      <c r="A4" s="53" t="inlineStr">
        <is>
          <t>FORECAST ASSUMPTIONS</t>
        </is>
      </c>
      <c r="B4" s="54" t="n"/>
      <c r="C4" s="55" t="n"/>
    </row>
    <row r="5" ht="33.75" customHeight="1" s="30">
      <c r="A5" s="40" t="inlineStr">
        <is>
          <t>Baseline campaign conversion lift: Low case (%)</t>
        </is>
      </c>
      <c r="B5" s="56" t="inlineStr">
        <is>
          <t>2%</t>
        </is>
      </c>
      <c r="C5" s="39" t="inlineStr">
        <is>
          <t>Conservative: campaign barely moves the needle</t>
        </is>
      </c>
    </row>
    <row r="6" ht="33.75" customHeight="1" s="30">
      <c r="A6" s="40" t="inlineStr">
        <is>
          <t>Baseline campaign conversion lift: Expected case (%)</t>
        </is>
      </c>
      <c r="B6" s="57" t="n">
        <v>0.04</v>
      </c>
      <c r="C6" s="39" t="inlineStr">
        <is>
          <t>Most likely: standard campaign performance</t>
        </is>
      </c>
    </row>
    <row r="7" ht="33.75" customHeight="1" s="30">
      <c r="A7" s="40" t="inlineStr">
        <is>
          <t>Baseline campaign conversion lift: High case (%)</t>
        </is>
      </c>
      <c r="B7" s="56" t="inlineStr">
        <is>
          <t>6%</t>
        </is>
      </c>
      <c r="C7" s="39" t="inlineStr">
        <is>
          <t>Upside: campaign overperforms</t>
        </is>
      </c>
    </row>
    <row r="8" ht="33.75" customHeight="1" s="30">
      <c r="A8" s="40" t="inlineStr">
        <is>
          <t>Organic baseline growth rate (%)</t>
        </is>
      </c>
      <c r="B8" s="56" t="inlineStr">
        <is>
          <t>15%</t>
        </is>
      </c>
      <c r="C8" s="39" t="inlineStr">
        <is>
          <t>What revenue would grow without the campaign</t>
        </is>
      </c>
    </row>
    <row r="9" ht="33.75" customHeight="1" s="30">
      <c r="A9" s="40" t="inlineStr">
        <is>
          <t>Risk adjustment on projected uplift (%)</t>
        </is>
      </c>
      <c r="B9" s="56" t="inlineStr">
        <is>
          <t>-10%</t>
        </is>
      </c>
      <c r="C9" s="39" t="inlineStr">
        <is>
          <t>Conservatism factor applied to final forecast</t>
        </is>
      </c>
    </row>
    <row r="10" ht="33.75" customHeight="1" s="30">
      <c r="A10" s="40" t="inlineStr">
        <is>
          <t>Attribution window (days)</t>
        </is>
      </c>
      <c r="B10" s="56" t="inlineStr">
        <is>
          <t>30</t>
        </is>
      </c>
      <c r="C10" s="39" t="inlineStr">
        <is>
          <t>How long after touchpoint a purchase is attributed to the campaign</t>
        </is>
      </c>
    </row>
    <row r="11" ht="21.75" customHeight="1" s="30">
      <c r="A11" s="53" t="inlineStr">
        <is>
          <t>COHORT REACH ASSUMPTIONS</t>
        </is>
      </c>
      <c r="B11" s="54" t="n"/>
      <c r="C11" s="55" t="n"/>
    </row>
    <row r="12" ht="33.75" customHeight="1" s="30">
      <c r="A12" s="40" t="inlineStr">
        <is>
          <t>Classic Repeat: reachable share (%)</t>
        </is>
      </c>
      <c r="B12" s="56" t="inlineStr">
        <is>
          <t>70%</t>
        </is>
      </c>
      <c r="C12" s="39" t="inlineStr">
        <is>
          <t>Harder to reach digitally; clienteling-dependent</t>
        </is>
      </c>
    </row>
    <row r="13" ht="33.75" customHeight="1" s="30">
      <c r="A13" s="40" t="inlineStr">
        <is>
          <t>Classic New: reachable share (%)</t>
        </is>
      </c>
      <c r="B13" s="56" t="inlineStr">
        <is>
          <t>50%</t>
        </is>
      </c>
      <c r="C13" s="39" t="inlineStr">
        <is>
          <t>Hardest to address, brand trust barrier</t>
        </is>
      </c>
    </row>
    <row r="14" ht="33.75" customHeight="1" s="30">
      <c r="A14" s="40" t="inlineStr">
        <is>
          <t>Contemporary Repeat: reachable share (%)</t>
        </is>
      </c>
      <c r="B14" s="56" t="inlineStr">
        <is>
          <t>85%</t>
        </is>
      </c>
      <c r="C14" s="39" t="inlineStr">
        <is>
          <t>Digital-native, easy to reach</t>
        </is>
      </c>
    </row>
    <row r="15" ht="33.75" customHeight="1" s="30">
      <c r="A15" s="40" t="inlineStr">
        <is>
          <t>Contemporary New: reachable share (%)</t>
        </is>
      </c>
      <c r="B15" s="56" t="inlineStr">
        <is>
          <t>85%</t>
        </is>
      </c>
      <c r="C15" s="39" t="inlineStr">
        <is>
          <t>Digital-native, easy to reach, tough to convert</t>
        </is>
      </c>
    </row>
    <row r="16" ht="21.75" customHeight="1" s="30">
      <c r="A16" s="53" t="inlineStr">
        <is>
          <t>BUDGET ENVELOPE</t>
        </is>
      </c>
      <c r="B16" s="54" t="n"/>
      <c r="C16" s="55" t="n"/>
    </row>
    <row r="17" ht="33.75" customHeight="1" s="30">
      <c r="A17" s="40" t="inlineStr">
        <is>
          <t>Total campaign budget ($M)</t>
        </is>
      </c>
      <c r="B17" s="56" t="n">
        <v>6</v>
      </c>
      <c r="C17" s="39" t="inlineStr">
        <is>
          <t>~17% of Fall-season revenue target, plausible for a tentpole launch</t>
        </is>
      </c>
    </row>
    <row r="18" ht="33.75" customHeight="1" s="30">
      <c r="A18" s="40" t="inlineStr">
        <is>
          <t>Creative production share</t>
        </is>
      </c>
      <c r="B18" s="57" t="n">
        <v>0.3</v>
      </c>
      <c r="C18" s="39" t="n"/>
    </row>
    <row r="19" ht="33.75" customHeight="1" s="30">
      <c r="A19" s="40" t="inlineStr">
        <is>
          <t>Media budget share</t>
        </is>
      </c>
      <c r="B19" s="57" t="n">
        <v>0.7</v>
      </c>
      <c r="C19" s="39" t="n"/>
    </row>
    <row r="20" ht="33.75" customHeight="1" s="30">
      <c r="A20" s="40" t="inlineStr">
        <is>
          <t>Budget allocation method</t>
        </is>
      </c>
      <c r="B20" s="56" t="inlineStr">
        <is>
          <t>Proportional to cohort opportunity</t>
        </is>
      </c>
      <c r="C20" s="39" t="inlineStr">
        <is>
          <t>Can be toggled: equal / proportional / manual</t>
        </is>
      </c>
    </row>
    <row r="21" ht="33.75" customHeight="1" s="30">
      <c r="A21" s="40" t="inlineStr">
        <is>
          <t>Minimum budget per cohort (%)</t>
        </is>
      </c>
      <c r="B21" s="56" t="inlineStr">
        <is>
          <t>10%</t>
        </is>
      </c>
      <c r="C21" s="39" t="inlineStr">
        <is>
          <t>No cohort gets less than this, prevents under-investment</t>
        </is>
      </c>
    </row>
    <row r="22" ht="21.75" customHeight="1" s="30">
      <c r="A22" s="53" t="inlineStr">
        <is>
          <t>UPLIFT CALCULATION FORMULA</t>
        </is>
      </c>
      <c r="B22" s="54" t="n"/>
      <c r="C22" s="55" t="n"/>
    </row>
    <row r="23" ht="33.75" customHeight="1" s="30">
      <c r="A23" s="40" t="inlineStr">
        <is>
          <t>Formula (per cohort)</t>
        </is>
      </c>
      <c r="B23" s="56" t="inlineStr">
        <is>
          <t>Uplift (₹) = Cohort Size × Reachable Share × AOV × Conversion Lift × Channel Effectiveness Multiplier</t>
        </is>
      </c>
      <c r="C23" s="39" t="inlineStr">
        <is>
          <t>Applied to each of the 4 cohorts; summed for total</t>
        </is>
      </c>
    </row>
    <row r="24" ht="33.75" customHeight="1" s="30">
      <c r="A24" s="40" t="inlineStr">
        <is>
          <t>Aggregation</t>
        </is>
      </c>
      <c r="B24" s="56" t="inlineStr">
        <is>
          <t>Sum across cohorts, then apply risk adjustment</t>
        </is>
      </c>
      <c r="C24" s="39" t="inlineStr">
        <is>
          <t>Final projected uplift = Σ(cohort uplift) × (1 + risk adjustment)</t>
        </is>
      </c>
    </row>
    <row r="25" ht="33.75" customHeight="1" s="30">
      <c r="A25" s="40" t="inlineStr">
        <is>
          <t>Target test</t>
        </is>
      </c>
      <c r="B25" s="56" t="inlineStr">
        <is>
          <t>IF projected uplift ≥ target uplift THEN "on track" ELSE show gap</t>
        </is>
      </c>
      <c r="C25" s="39" t="inlineStr">
        <is>
          <t>Agent 5 prints a clear "can we hit the target" answer</t>
        </is>
      </c>
    </row>
    <row r="27" ht="14.25" customHeight="1" s="30">
      <c r="A27" s="58" t="n"/>
      <c r="B27" s="59" t="n"/>
    </row>
    <row r="28" ht="14.25" customHeight="1" s="30">
      <c r="A28" s="58" t="n"/>
      <c r="B28" s="59" t="n"/>
    </row>
  </sheetData>
  <mergeCells count="6">
    <mergeCell ref="A11:C11"/>
    <mergeCell ref="A1:C1"/>
    <mergeCell ref="A2:C2"/>
    <mergeCell ref="A22:C22"/>
    <mergeCell ref="A4:C4"/>
    <mergeCell ref="A16:C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2026-04-11T04:54:55Z</dcterms:created>
  <dcterms:modified xmlns:dcterms="http://purl.org/dc/terms/" xmlns:xsi="http://www.w3.org/2001/XMLSchema-instance" xsi:type="dcterms:W3CDTF">2026-04-25T23:49:29Z</dcterms:modified>
  <cp:lastModifiedBy>Shobhika Mathur</cp:lastModifiedBy>
  <cp:revision>0</cp:revision>
</cp:coreProperties>
</file>